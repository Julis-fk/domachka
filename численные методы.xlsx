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0d8967ec272c1da/Desktop/"/>
    </mc:Choice>
  </mc:AlternateContent>
  <xr:revisionPtr revIDLastSave="4" documentId="11_AD4DF75460589B3ACB72848F3F9940C25BDEDD99" xr6:coauthVersionLast="47" xr6:coauthVersionMax="47" xr10:uidLastSave="{8A4F1911-FB8F-4BE4-860C-E5EBCE571BC3}"/>
  <bookViews>
    <workbookView xWindow="5760" yWindow="1716" windowWidth="17280" windowHeight="8964" activeTab="2" xr2:uid="{00000000-000D-0000-FFFF-FFFF00000000}"/>
  </bookViews>
  <sheets>
    <sheet name="бисекция" sheetId="1" r:id="rId1"/>
    <sheet name="простая итерация" sheetId="2" r:id="rId2"/>
    <sheet name="ньютон" sheetId="4" r:id="rId3"/>
    <sheet name="секущие" sheetId="5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5" l="1"/>
  <c r="B16" i="5"/>
  <c r="C16" i="5"/>
  <c r="E16" i="5" s="1"/>
  <c r="D16" i="5"/>
  <c r="A17" i="5"/>
  <c r="A10" i="5"/>
  <c r="B10" i="5"/>
  <c r="D10" i="5"/>
  <c r="A11" i="5"/>
  <c r="A12" i="5" s="1"/>
  <c r="A13" i="5" s="1"/>
  <c r="A14" i="5" s="1"/>
  <c r="A15" i="5" s="1"/>
  <c r="C9" i="5"/>
  <c r="E9" i="5" s="1"/>
  <c r="D9" i="5"/>
  <c r="B9" i="5"/>
  <c r="A9" i="5"/>
  <c r="G8" i="5"/>
  <c r="F8" i="5"/>
  <c r="E8" i="5"/>
  <c r="D8" i="5"/>
  <c r="C8" i="5"/>
  <c r="B8" i="5"/>
  <c r="C7" i="5"/>
  <c r="B7" i="5"/>
  <c r="A9" i="4"/>
  <c r="A10" i="4" s="1"/>
  <c r="A11" i="4" s="1"/>
  <c r="A12" i="4" s="1"/>
  <c r="A13" i="4" s="1"/>
  <c r="B9" i="4"/>
  <c r="C9" i="4" s="1"/>
  <c r="E9" i="4" s="1"/>
  <c r="D9" i="4"/>
  <c r="C8" i="4"/>
  <c r="E8" i="4" s="1"/>
  <c r="F8" i="4" s="1"/>
  <c r="D8" i="4"/>
  <c r="B8" i="4"/>
  <c r="A8" i="4"/>
  <c r="F7" i="4"/>
  <c r="E7" i="4"/>
  <c r="D7" i="4"/>
  <c r="C7" i="4"/>
  <c r="B7" i="4"/>
  <c r="A10" i="2"/>
  <c r="B10" i="2"/>
  <c r="C10" i="2" s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C9" i="2"/>
  <c r="D9" i="2" s="1"/>
  <c r="C8" i="2"/>
  <c r="B9" i="2" s="1"/>
  <c r="A9" i="2"/>
  <c r="B8" i="2"/>
  <c r="B4" i="2"/>
  <c r="A20" i="1"/>
  <c r="B20" i="1"/>
  <c r="G20" i="1" s="1"/>
  <c r="C20" i="1"/>
  <c r="A21" i="1"/>
  <c r="A22" i="1"/>
  <c r="A23" i="1"/>
  <c r="A10" i="1"/>
  <c r="B10" i="1"/>
  <c r="G10" i="1" s="1"/>
  <c r="C10" i="1"/>
  <c r="D10" i="1"/>
  <c r="E10" i="1" s="1"/>
  <c r="A11" i="1"/>
  <c r="A12" i="1"/>
  <c r="A13" i="1"/>
  <c r="A14" i="1"/>
  <c r="A15" i="1"/>
  <c r="A16" i="1"/>
  <c r="A17" i="1"/>
  <c r="A18" i="1"/>
  <c r="A19" i="1"/>
  <c r="C9" i="1"/>
  <c r="G9" i="1" s="1"/>
  <c r="B9" i="1"/>
  <c r="D8" i="1"/>
  <c r="A9" i="1"/>
  <c r="H8" i="1"/>
  <c r="G8" i="1"/>
  <c r="F8" i="1"/>
  <c r="E8" i="1"/>
  <c r="C8" i="1"/>
  <c r="B8" i="1"/>
  <c r="B5" i="1"/>
  <c r="B6" i="1"/>
  <c r="F16" i="5" l="1"/>
  <c r="C10" i="5"/>
  <c r="E10" i="5" s="1"/>
  <c r="F9" i="5"/>
  <c r="G9" i="5" s="1"/>
  <c r="F9" i="4"/>
  <c r="B10" i="4"/>
  <c r="E10" i="2"/>
  <c r="B11" i="2"/>
  <c r="C11" i="2" s="1"/>
  <c r="D10" i="2"/>
  <c r="E9" i="2"/>
  <c r="D8" i="2"/>
  <c r="E8" i="2"/>
  <c r="D20" i="1"/>
  <c r="E20" i="1" s="1"/>
  <c r="H10" i="1"/>
  <c r="F10" i="1"/>
  <c r="D9" i="1"/>
  <c r="E9" i="1" s="1"/>
  <c r="F9" i="1" s="1"/>
  <c r="B17" i="5" l="1"/>
  <c r="G16" i="5"/>
  <c r="F10" i="5"/>
  <c r="D10" i="4"/>
  <c r="E10" i="4"/>
  <c r="C10" i="4"/>
  <c r="D11" i="2"/>
  <c r="E11" i="2"/>
  <c r="B12" i="2"/>
  <c r="C12" i="2" s="1"/>
  <c r="F20" i="1"/>
  <c r="H20" i="1"/>
  <c r="B11" i="1"/>
  <c r="D11" i="1" s="1"/>
  <c r="E11" i="1" s="1"/>
  <c r="C11" i="1"/>
  <c r="G11" i="1" s="1"/>
  <c r="H9" i="1"/>
  <c r="C17" i="5" l="1"/>
  <c r="E17" i="5" s="1"/>
  <c r="D17" i="5"/>
  <c r="B11" i="5"/>
  <c r="G10" i="5"/>
  <c r="B11" i="4"/>
  <c r="F10" i="4"/>
  <c r="B13" i="2"/>
  <c r="C13" i="2" s="1"/>
  <c r="D12" i="2"/>
  <c r="E12" i="2"/>
  <c r="B21" i="1"/>
  <c r="D21" i="1" s="1"/>
  <c r="E21" i="1" s="1"/>
  <c r="C21" i="1"/>
  <c r="G21" i="1" s="1"/>
  <c r="F11" i="1"/>
  <c r="H11" i="1"/>
  <c r="F17" i="5" l="1"/>
  <c r="C11" i="5"/>
  <c r="E11" i="5" s="1"/>
  <c r="D11" i="5"/>
  <c r="C11" i="4"/>
  <c r="E11" i="4" s="1"/>
  <c r="D11" i="4"/>
  <c r="B14" i="2"/>
  <c r="C14" i="2" s="1"/>
  <c r="D13" i="2"/>
  <c r="E13" i="2"/>
  <c r="F21" i="1"/>
  <c r="H21" i="1"/>
  <c r="B12" i="1"/>
  <c r="C12" i="1"/>
  <c r="G12" i="1" s="1"/>
  <c r="G17" i="5" l="1"/>
  <c r="F11" i="5"/>
  <c r="F11" i="4"/>
  <c r="B12" i="4"/>
  <c r="E14" i="2"/>
  <c r="B15" i="2"/>
  <c r="C15" i="2" s="1"/>
  <c r="D14" i="2"/>
  <c r="B22" i="1"/>
  <c r="C22" i="1"/>
  <c r="G22" i="1" s="1"/>
  <c r="D12" i="1"/>
  <c r="E12" i="1" s="1"/>
  <c r="G11" i="5" l="1"/>
  <c r="B12" i="5"/>
  <c r="D12" i="4"/>
  <c r="C12" i="4"/>
  <c r="E12" i="4" s="1"/>
  <c r="D15" i="2"/>
  <c r="E15" i="2"/>
  <c r="B16" i="2"/>
  <c r="C16" i="2" s="1"/>
  <c r="D22" i="1"/>
  <c r="E22" i="1" s="1"/>
  <c r="F12" i="1"/>
  <c r="H12" i="1"/>
  <c r="C12" i="5" l="1"/>
  <c r="E12" i="5" s="1"/>
  <c r="D12" i="5"/>
  <c r="F12" i="5"/>
  <c r="B13" i="4"/>
  <c r="F12" i="4"/>
  <c r="B17" i="2"/>
  <c r="C17" i="2" s="1"/>
  <c r="D16" i="2"/>
  <c r="E16" i="2"/>
  <c r="F22" i="1"/>
  <c r="H22" i="1"/>
  <c r="B13" i="1"/>
  <c r="C13" i="1"/>
  <c r="G13" i="1" s="1"/>
  <c r="G12" i="5" l="1"/>
  <c r="B13" i="5"/>
  <c r="D13" i="4"/>
  <c r="C13" i="4"/>
  <c r="E13" i="4" s="1"/>
  <c r="F13" i="4" s="1"/>
  <c r="B18" i="2"/>
  <c r="C18" i="2" s="1"/>
  <c r="D17" i="2"/>
  <c r="E17" i="2"/>
  <c r="B23" i="1"/>
  <c r="C23" i="1"/>
  <c r="G23" i="1" s="1"/>
  <c r="D13" i="1"/>
  <c r="E13" i="1" s="1"/>
  <c r="D13" i="5" l="1"/>
  <c r="C13" i="5"/>
  <c r="E13" i="5" s="1"/>
  <c r="E18" i="2"/>
  <c r="B19" i="2"/>
  <c r="C19" i="2" s="1"/>
  <c r="D18" i="2"/>
  <c r="D23" i="1"/>
  <c r="E23" i="1" s="1"/>
  <c r="F13" i="1"/>
  <c r="H13" i="1"/>
  <c r="F13" i="5" l="1"/>
  <c r="D19" i="2"/>
  <c r="E19" i="2"/>
  <c r="B20" i="2"/>
  <c r="C20" i="2" s="1"/>
  <c r="H23" i="1"/>
  <c r="F23" i="1"/>
  <c r="B14" i="1"/>
  <c r="C14" i="1"/>
  <c r="G14" i="1" s="1"/>
  <c r="B14" i="5" l="1"/>
  <c r="G13" i="5"/>
  <c r="B21" i="2"/>
  <c r="C21" i="2" s="1"/>
  <c r="D20" i="2"/>
  <c r="E20" i="2"/>
  <c r="D14" i="1"/>
  <c r="E14" i="1" s="1"/>
  <c r="C14" i="5" l="1"/>
  <c r="E14" i="5" s="1"/>
  <c r="D14" i="5"/>
  <c r="B22" i="2"/>
  <c r="C22" i="2" s="1"/>
  <c r="D21" i="2"/>
  <c r="E21" i="2"/>
  <c r="H14" i="1"/>
  <c r="F14" i="1"/>
  <c r="F14" i="5" l="1"/>
  <c r="E22" i="2"/>
  <c r="B23" i="2"/>
  <c r="C23" i="2" s="1"/>
  <c r="D22" i="2"/>
  <c r="B15" i="1"/>
  <c r="C15" i="1"/>
  <c r="G15" i="1" s="1"/>
  <c r="B15" i="5" l="1"/>
  <c r="G14" i="5"/>
  <c r="D23" i="2"/>
  <c r="E23" i="2"/>
  <c r="B24" i="2"/>
  <c r="C24" i="2" s="1"/>
  <c r="D15" i="1"/>
  <c r="E15" i="1" s="1"/>
  <c r="C15" i="5" l="1"/>
  <c r="E15" i="5" s="1"/>
  <c r="D15" i="5"/>
  <c r="B25" i="2"/>
  <c r="C25" i="2" s="1"/>
  <c r="D24" i="2"/>
  <c r="E24" i="2"/>
  <c r="F15" i="1"/>
  <c r="H15" i="1"/>
  <c r="F15" i="5" l="1"/>
  <c r="G15" i="5" s="1"/>
  <c r="B26" i="2"/>
  <c r="C26" i="2" s="1"/>
  <c r="D25" i="2"/>
  <c r="E25" i="2"/>
  <c r="B16" i="1"/>
  <c r="C16" i="1"/>
  <c r="G16" i="1" s="1"/>
  <c r="E26" i="2" l="1"/>
  <c r="B27" i="2"/>
  <c r="C27" i="2" s="1"/>
  <c r="D26" i="2"/>
  <c r="D16" i="1"/>
  <c r="E16" i="1" s="1"/>
  <c r="D27" i="2" l="1"/>
  <c r="E27" i="2"/>
  <c r="B28" i="2"/>
  <c r="C28" i="2" s="1"/>
  <c r="F16" i="1"/>
  <c r="H16" i="1"/>
  <c r="D28" i="2" l="1"/>
  <c r="E28" i="2"/>
  <c r="B17" i="1"/>
  <c r="D17" i="1" s="1"/>
  <c r="E17" i="1" s="1"/>
  <c r="C17" i="1"/>
  <c r="G17" i="1" s="1"/>
  <c r="H17" i="1" l="1"/>
  <c r="F17" i="1"/>
  <c r="B18" i="1" l="1"/>
  <c r="C18" i="1"/>
  <c r="G18" i="1" s="1"/>
  <c r="D18" i="1" l="1"/>
  <c r="E18" i="1" s="1"/>
  <c r="F18" i="1" l="1"/>
  <c r="H18" i="1"/>
  <c r="B19" i="1" l="1"/>
  <c r="C19" i="1"/>
  <c r="G19" i="1" s="1"/>
  <c r="D19" i="1" l="1"/>
  <c r="E19" i="1" s="1"/>
  <c r="F19" i="1" l="1"/>
  <c r="H19" i="1"/>
</calcChain>
</file>

<file path=xl/sharedStrings.xml><?xml version="1.0" encoding="utf-8"?>
<sst xmlns="http://schemas.openxmlformats.org/spreadsheetml/2006/main" count="45" uniqueCount="33">
  <si>
    <t>f(x)=x^3-x-1</t>
  </si>
  <si>
    <t>a=</t>
  </si>
  <si>
    <t>b=</t>
  </si>
  <si>
    <t>eps=</t>
  </si>
  <si>
    <t>f(a)=</t>
  </si>
  <si>
    <t>f(b) =</t>
  </si>
  <si>
    <t>итерация</t>
  </si>
  <si>
    <t>a</t>
  </si>
  <si>
    <t>b</t>
  </si>
  <si>
    <t>c=(a+b)/2</t>
  </si>
  <si>
    <t>f(c)</t>
  </si>
  <si>
    <t>f(a)*f(c)</t>
  </si>
  <si>
    <t>b-a</t>
  </si>
  <si>
    <t>|f(c)|</t>
  </si>
  <si>
    <t>F(x)=x^3-x-1</t>
  </si>
  <si>
    <t>x0=</t>
  </si>
  <si>
    <t>phi'(x0)=</t>
  </si>
  <si>
    <t>phi(x)=(x+1)^(1/3)</t>
  </si>
  <si>
    <t>n</t>
  </si>
  <si>
    <t>x_n</t>
  </si>
  <si>
    <t>x_{n+1}=phi(x_n)</t>
  </si>
  <si>
    <t>|x_{n+1}-x_n|</t>
  </si>
  <si>
    <t>F(x_{n+1})</t>
  </si>
  <si>
    <t>f'(x)=3x^2-1</t>
  </si>
  <si>
    <t>k</t>
  </si>
  <si>
    <t>k_n</t>
  </si>
  <si>
    <t>f(x_k)</t>
  </si>
  <si>
    <t>f'(x_k)</t>
  </si>
  <si>
    <t>x_{k+1}</t>
  </si>
  <si>
    <t>|x_{k+1}-x_k|</t>
  </si>
  <si>
    <t>x1=</t>
  </si>
  <si>
    <t>x_k - x_{k-1}</t>
  </si>
  <si>
    <t>f(x_k)-f(x_{k-1})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</si>
</sst>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 applyFont="0"/>
  </cellStyleXfs>
  <cellXfs count="16">
    <xf numFmtId="0" fontId="0" fillId="0" borderId="0" xfId="0"/>
    <xf numFmtId="0" fontId="2" fillId="4" borderId="1" xfId="3" applyBorder="1"/>
    <xf numFmtId="0" fontId="2" fillId="0" borderId="0" xfId="0" applyFont="1"/>
    <xf numFmtId="0" fontId="2" fillId="4" borderId="2" xfId="3" applyBorder="1"/>
    <xf numFmtId="0" fontId="2" fillId="2" borderId="1" xfId="1" applyBorder="1"/>
    <xf numFmtId="0" fontId="3" fillId="3" borderId="1" xfId="2" applyFont="1" applyBorder="1"/>
    <xf numFmtId="0" fontId="1" fillId="0" borderId="0" xfId="0" applyFont="1"/>
    <xf numFmtId="0" fontId="4" fillId="5" borderId="1" xfId="4" applyBorder="1"/>
    <xf numFmtId="0" fontId="1" fillId="6" borderId="1" xfId="5" applyBorder="1"/>
    <xf numFmtId="0" fontId="3" fillId="7" borderId="1" xfId="6" applyFont="1" applyBorder="1"/>
    <xf numFmtId="0" fontId="1" fillId="9" borderId="1" xfId="8" applyBorder="1"/>
    <xf numFmtId="0" fontId="3" fillId="10" borderId="1" xfId="9" applyFont="1" applyBorder="1"/>
    <xf numFmtId="0" fontId="1" fillId="11" borderId="1" xfId="10" applyBorder="1"/>
    <xf numFmtId="0" fontId="1" fillId="12" borderId="1" xfId="11" applyBorder="1"/>
    <xf numFmtId="0" fontId="3" fillId="4" borderId="1" xfId="3" applyFont="1" applyBorder="1"/>
    <xf numFmtId="0" fontId="1" fillId="8" borderId="1" xfId="7" applyBorder="1"/>
  </cellXfs>
  <cellStyles count="13">
    <cellStyle name="20% — акцент4" xfId="7" builtinId="42"/>
    <cellStyle name="20% — акцент5" xfId="1" builtinId="46"/>
    <cellStyle name="40% — акцент2" xfId="5" builtinId="35"/>
    <cellStyle name="40% — акцент4" xfId="8" builtinId="43"/>
    <cellStyle name="40% — акцент5" xfId="10" builtinId="47"/>
    <cellStyle name="40% — акцент6" xfId="11" builtinId="51"/>
    <cellStyle name="60% — акцент2" xfId="6" builtinId="36"/>
    <cellStyle name="60% — акцент4" xfId="9" builtinId="44"/>
    <cellStyle name="60% — акцент5" xfId="2" builtinId="48"/>
    <cellStyle name="60% — акцент6" xfId="3" builtinId="52"/>
    <cellStyle name="Обычный" xfId="0" builtinId="0"/>
    <cellStyle name="Плохой" xfId="4" builtinId="27"/>
    <cellStyle name="Стиль 1" xfId="12" xr:uid="{FB01FF09-4B48-4AE0-A19F-BDBA049DE1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opLeftCell="A2" zoomScale="106" workbookViewId="0">
      <selection activeCell="I22" sqref="I22"/>
    </sheetView>
  </sheetViews>
  <sheetFormatPr defaultRowHeight="14.4" x14ac:dyDescent="0.3"/>
  <cols>
    <col min="1" max="1" width="10.77734375" customWidth="1"/>
    <col min="5" max="5" width="8.88671875" customWidth="1"/>
    <col min="8" max="8" width="8.88671875" customWidth="1"/>
  </cols>
  <sheetData>
    <row r="1" spans="1:8" x14ac:dyDescent="0.3">
      <c r="A1" s="1" t="s">
        <v>0</v>
      </c>
      <c r="B1" s="1"/>
      <c r="C1" s="2"/>
      <c r="D1" s="2"/>
      <c r="E1" s="2"/>
      <c r="F1" s="2"/>
      <c r="G1" s="2"/>
      <c r="H1" s="2"/>
    </row>
    <row r="2" spans="1:8" x14ac:dyDescent="0.3">
      <c r="A2" s="1" t="s">
        <v>1</v>
      </c>
      <c r="B2" s="1">
        <v>1</v>
      </c>
      <c r="C2" s="2"/>
      <c r="D2" s="2"/>
      <c r="E2" s="2"/>
      <c r="F2" s="2"/>
      <c r="G2" s="2"/>
      <c r="H2" s="2"/>
    </row>
    <row r="3" spans="1:8" x14ac:dyDescent="0.3">
      <c r="A3" s="1" t="s">
        <v>2</v>
      </c>
      <c r="B3" s="1">
        <v>2</v>
      </c>
      <c r="C3" s="2"/>
      <c r="D3" s="2"/>
      <c r="E3" s="2"/>
      <c r="F3" s="2"/>
      <c r="G3" s="2"/>
      <c r="H3" s="2"/>
    </row>
    <row r="4" spans="1:8" x14ac:dyDescent="0.3">
      <c r="A4" s="1" t="s">
        <v>3</v>
      </c>
      <c r="B4" s="1">
        <v>1E-4</v>
      </c>
      <c r="C4" s="2"/>
      <c r="D4" s="2"/>
      <c r="E4" s="2"/>
      <c r="F4" s="2"/>
      <c r="G4" s="2"/>
      <c r="H4" s="2"/>
    </row>
    <row r="5" spans="1:8" x14ac:dyDescent="0.3">
      <c r="A5" s="1" t="s">
        <v>4</v>
      </c>
      <c r="B5" s="1">
        <f>B2^3-B2-1</f>
        <v>-1</v>
      </c>
      <c r="C5" s="2"/>
      <c r="D5" s="2"/>
      <c r="E5" s="2"/>
      <c r="F5" s="2"/>
      <c r="G5" s="2"/>
      <c r="H5" s="2"/>
    </row>
    <row r="6" spans="1:8" x14ac:dyDescent="0.3">
      <c r="A6" s="3" t="s">
        <v>5</v>
      </c>
      <c r="B6" s="3">
        <f>B3^3-B3-1</f>
        <v>5</v>
      </c>
      <c r="C6" s="2"/>
      <c r="D6" s="2"/>
      <c r="E6" s="2"/>
      <c r="F6" s="2"/>
      <c r="G6" s="2"/>
      <c r="H6" s="2"/>
    </row>
    <row r="7" spans="1:8" x14ac:dyDescent="0.3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</row>
    <row r="8" spans="1:8" x14ac:dyDescent="0.3">
      <c r="A8" s="4">
        <v>1</v>
      </c>
      <c r="B8" s="4">
        <f>$B$2</f>
        <v>1</v>
      </c>
      <c r="C8" s="4">
        <f>$B$3</f>
        <v>2</v>
      </c>
      <c r="D8" s="4">
        <f>(B8+C8)/2</f>
        <v>1.5</v>
      </c>
      <c r="E8" s="4">
        <f>D8^3-D8-1</f>
        <v>0.875</v>
      </c>
      <c r="F8" s="4">
        <f>E8*($B$5)</f>
        <v>-0.875</v>
      </c>
      <c r="G8" s="4">
        <f>C8-B8</f>
        <v>1</v>
      </c>
      <c r="H8" s="4">
        <f>ABS(E8)</f>
        <v>0.875</v>
      </c>
    </row>
    <row r="9" spans="1:8" x14ac:dyDescent="0.3">
      <c r="A9" s="4">
        <f>A8+1</f>
        <v>2</v>
      </c>
      <c r="B9" s="4">
        <f>IF(F8&lt;0, B8, D8)</f>
        <v>1</v>
      </c>
      <c r="C9" s="4">
        <f>IF(F8&lt;0, D8, C8)</f>
        <v>1.5</v>
      </c>
      <c r="D9" s="4">
        <f t="shared" ref="D9" si="0">(B9+C9)/2</f>
        <v>1.25</v>
      </c>
      <c r="E9" s="4">
        <f>D9^3-D9-1</f>
        <v>-0.296875</v>
      </c>
      <c r="F9" s="4">
        <f>E9*($B$5)</f>
        <v>0.296875</v>
      </c>
      <c r="G9" s="4">
        <f>C9-B9</f>
        <v>0.5</v>
      </c>
      <c r="H9" s="4">
        <f>ABS(E9)</f>
        <v>0.296875</v>
      </c>
    </row>
    <row r="10" spans="1:8" x14ac:dyDescent="0.3">
      <c r="A10" s="4">
        <f t="shared" ref="A10:A19" si="1">A9+1</f>
        <v>3</v>
      </c>
      <c r="B10" s="4">
        <f t="shared" ref="B10:B19" si="2">IF(F9&lt;0, B9, D9)</f>
        <v>1.25</v>
      </c>
      <c r="C10" s="4">
        <f t="shared" ref="C10:C19" si="3">IF(F9&lt;0, D9, C9)</f>
        <v>1.5</v>
      </c>
      <c r="D10" s="4">
        <f t="shared" ref="D10:D20" si="4">(B10+C10)/2</f>
        <v>1.375</v>
      </c>
      <c r="E10" s="4">
        <f t="shared" ref="E10:E23" si="5">D10^3-D10-1</f>
        <v>0.224609375</v>
      </c>
      <c r="F10" s="4">
        <f t="shared" ref="F10:F23" si="6">E10*($B$5)</f>
        <v>-0.224609375</v>
      </c>
      <c r="G10" s="4">
        <f t="shared" ref="G10:G19" si="7">C10-B10</f>
        <v>0.25</v>
      </c>
      <c r="H10" s="4">
        <f t="shared" ref="H10:H19" si="8">ABS(E10)</f>
        <v>0.224609375</v>
      </c>
    </row>
    <row r="11" spans="1:8" x14ac:dyDescent="0.3">
      <c r="A11" s="4">
        <f t="shared" si="1"/>
        <v>4</v>
      </c>
      <c r="B11" s="4">
        <f t="shared" si="2"/>
        <v>1.25</v>
      </c>
      <c r="C11" s="4">
        <f t="shared" si="3"/>
        <v>1.375</v>
      </c>
      <c r="D11" s="4">
        <f t="shared" si="4"/>
        <v>1.3125</v>
      </c>
      <c r="E11" s="4">
        <f t="shared" si="5"/>
        <v>-5.1513671875E-2</v>
      </c>
      <c r="F11" s="4">
        <f t="shared" si="6"/>
        <v>5.1513671875E-2</v>
      </c>
      <c r="G11" s="4">
        <f t="shared" si="7"/>
        <v>0.125</v>
      </c>
      <c r="H11" s="4">
        <f t="shared" si="8"/>
        <v>5.1513671875E-2</v>
      </c>
    </row>
    <row r="12" spans="1:8" x14ac:dyDescent="0.3">
      <c r="A12" s="4">
        <f t="shared" si="1"/>
        <v>5</v>
      </c>
      <c r="B12" s="4">
        <f t="shared" si="2"/>
        <v>1.3125</v>
      </c>
      <c r="C12" s="4">
        <f t="shared" si="3"/>
        <v>1.375</v>
      </c>
      <c r="D12" s="4">
        <f t="shared" si="4"/>
        <v>1.34375</v>
      </c>
      <c r="E12" s="4">
        <f t="shared" si="5"/>
        <v>8.2611083984375E-2</v>
      </c>
      <c r="F12" s="4">
        <f t="shared" si="6"/>
        <v>-8.2611083984375E-2</v>
      </c>
      <c r="G12" s="4">
        <f t="shared" si="7"/>
        <v>6.25E-2</v>
      </c>
      <c r="H12" s="4">
        <f t="shared" si="8"/>
        <v>8.2611083984375E-2</v>
      </c>
    </row>
    <row r="13" spans="1:8" x14ac:dyDescent="0.3">
      <c r="A13" s="4">
        <f t="shared" si="1"/>
        <v>6</v>
      </c>
      <c r="B13" s="4">
        <f t="shared" si="2"/>
        <v>1.3125</v>
      </c>
      <c r="C13" s="4">
        <f t="shared" si="3"/>
        <v>1.34375</v>
      </c>
      <c r="D13" s="4">
        <f t="shared" si="4"/>
        <v>1.328125</v>
      </c>
      <c r="E13" s="4">
        <f t="shared" si="5"/>
        <v>1.4575958251953125E-2</v>
      </c>
      <c r="F13" s="4">
        <f t="shared" si="6"/>
        <v>-1.4575958251953125E-2</v>
      </c>
      <c r="G13" s="4">
        <f t="shared" si="7"/>
        <v>3.125E-2</v>
      </c>
      <c r="H13" s="4">
        <f t="shared" si="8"/>
        <v>1.4575958251953125E-2</v>
      </c>
    </row>
    <row r="14" spans="1:8" x14ac:dyDescent="0.3">
      <c r="A14" s="4">
        <f t="shared" si="1"/>
        <v>7</v>
      </c>
      <c r="B14" s="4">
        <f t="shared" si="2"/>
        <v>1.3125</v>
      </c>
      <c r="C14" s="4">
        <f t="shared" si="3"/>
        <v>1.328125</v>
      </c>
      <c r="D14" s="4">
        <f t="shared" si="4"/>
        <v>1.3203125</v>
      </c>
      <c r="E14" s="4">
        <f t="shared" si="5"/>
        <v>-1.8710613250732422E-2</v>
      </c>
      <c r="F14" s="4">
        <f t="shared" si="6"/>
        <v>1.8710613250732422E-2</v>
      </c>
      <c r="G14" s="4">
        <f t="shared" si="7"/>
        <v>1.5625E-2</v>
      </c>
      <c r="H14" s="4">
        <f t="shared" si="8"/>
        <v>1.8710613250732422E-2</v>
      </c>
    </row>
    <row r="15" spans="1:8" x14ac:dyDescent="0.3">
      <c r="A15" s="4">
        <f t="shared" si="1"/>
        <v>8</v>
      </c>
      <c r="B15" s="4">
        <f t="shared" si="2"/>
        <v>1.3203125</v>
      </c>
      <c r="C15" s="4">
        <f t="shared" si="3"/>
        <v>1.328125</v>
      </c>
      <c r="D15" s="4">
        <f t="shared" si="4"/>
        <v>1.32421875</v>
      </c>
      <c r="E15" s="4">
        <f t="shared" si="5"/>
        <v>-2.1279454231262207E-3</v>
      </c>
      <c r="F15" s="4">
        <f t="shared" si="6"/>
        <v>2.1279454231262207E-3</v>
      </c>
      <c r="G15" s="4">
        <f t="shared" si="7"/>
        <v>7.8125E-3</v>
      </c>
      <c r="H15" s="4">
        <f t="shared" si="8"/>
        <v>2.1279454231262207E-3</v>
      </c>
    </row>
    <row r="16" spans="1:8" x14ac:dyDescent="0.3">
      <c r="A16" s="4">
        <f t="shared" si="1"/>
        <v>9</v>
      </c>
      <c r="B16" s="4">
        <f t="shared" si="2"/>
        <v>1.32421875</v>
      </c>
      <c r="C16" s="4">
        <f t="shared" si="3"/>
        <v>1.328125</v>
      </c>
      <c r="D16" s="4">
        <f t="shared" si="4"/>
        <v>1.326171875</v>
      </c>
      <c r="E16" s="4">
        <f t="shared" si="5"/>
        <v>6.2088295817375183E-3</v>
      </c>
      <c r="F16" s="4">
        <f t="shared" si="6"/>
        <v>-6.2088295817375183E-3</v>
      </c>
      <c r="G16" s="4">
        <f t="shared" si="7"/>
        <v>3.90625E-3</v>
      </c>
      <c r="H16" s="4">
        <f t="shared" si="8"/>
        <v>6.2088295817375183E-3</v>
      </c>
    </row>
    <row r="17" spans="1:8" x14ac:dyDescent="0.3">
      <c r="A17" s="4">
        <f t="shared" si="1"/>
        <v>10</v>
      </c>
      <c r="B17" s="4">
        <f t="shared" si="2"/>
        <v>1.32421875</v>
      </c>
      <c r="C17" s="4">
        <f t="shared" si="3"/>
        <v>1.326171875</v>
      </c>
      <c r="D17" s="4">
        <f t="shared" si="4"/>
        <v>1.3251953125</v>
      </c>
      <c r="E17" s="4">
        <f t="shared" si="5"/>
        <v>2.0366506651043892E-3</v>
      </c>
      <c r="F17" s="4">
        <f t="shared" si="6"/>
        <v>-2.0366506651043892E-3</v>
      </c>
      <c r="G17" s="4">
        <f t="shared" si="7"/>
        <v>1.953125E-3</v>
      </c>
      <c r="H17" s="4">
        <f t="shared" si="8"/>
        <v>2.0366506651043892E-3</v>
      </c>
    </row>
    <row r="18" spans="1:8" x14ac:dyDescent="0.3">
      <c r="A18" s="4">
        <f t="shared" si="1"/>
        <v>11</v>
      </c>
      <c r="B18" s="4">
        <f t="shared" si="2"/>
        <v>1.32421875</v>
      </c>
      <c r="C18" s="4">
        <f t="shared" si="3"/>
        <v>1.3251953125</v>
      </c>
      <c r="D18" s="4">
        <f t="shared" si="4"/>
        <v>1.32470703125</v>
      </c>
      <c r="E18" s="4">
        <f t="shared" si="5"/>
        <v>-4.6594883315265179E-5</v>
      </c>
      <c r="F18" s="4">
        <f t="shared" si="6"/>
        <v>4.6594883315265179E-5</v>
      </c>
      <c r="G18" s="4">
        <f t="shared" si="7"/>
        <v>9.765625E-4</v>
      </c>
      <c r="H18" s="4">
        <f t="shared" si="8"/>
        <v>4.6594883315265179E-5</v>
      </c>
    </row>
    <row r="19" spans="1:8" x14ac:dyDescent="0.3">
      <c r="A19" s="4">
        <f t="shared" si="1"/>
        <v>12</v>
      </c>
      <c r="B19" s="4">
        <f t="shared" si="2"/>
        <v>1.32470703125</v>
      </c>
      <c r="C19" s="4">
        <f t="shared" si="3"/>
        <v>1.3251953125</v>
      </c>
      <c r="D19" s="4">
        <f t="shared" si="4"/>
        <v>1.324951171875</v>
      </c>
      <c r="E19" s="4">
        <f t="shared" si="5"/>
        <v>9.9479097116272897E-4</v>
      </c>
      <c r="F19" s="4">
        <f t="shared" si="6"/>
        <v>-9.9479097116272897E-4</v>
      </c>
      <c r="G19" s="4">
        <f t="shared" si="7"/>
        <v>4.8828125E-4</v>
      </c>
      <c r="H19" s="4">
        <f t="shared" si="8"/>
        <v>9.9479097116272897E-4</v>
      </c>
    </row>
    <row r="20" spans="1:8" x14ac:dyDescent="0.3">
      <c r="A20" s="4">
        <f>A19+1</f>
        <v>13</v>
      </c>
      <c r="B20" s="4">
        <f>IF(F19&lt;0, B19, D19)</f>
        <v>1.32470703125</v>
      </c>
      <c r="C20" s="4">
        <f>IF(F19&lt;0, D19, C19)</f>
        <v>1.324951171875</v>
      </c>
      <c r="D20" s="4">
        <f t="shared" si="4"/>
        <v>1.3248291015625</v>
      </c>
      <c r="E20" s="4">
        <f>D20^3-D20-1</f>
        <v>4.7403881944774184E-4</v>
      </c>
      <c r="F20" s="4">
        <f>E20*($B$5)</f>
        <v>-4.7403881944774184E-4</v>
      </c>
      <c r="G20" s="4">
        <f>C20-B20</f>
        <v>2.44140625E-4</v>
      </c>
      <c r="H20" s="4">
        <f>ABS(E20)</f>
        <v>4.7403881944774184E-4</v>
      </c>
    </row>
    <row r="21" spans="1:8" x14ac:dyDescent="0.3">
      <c r="A21" s="4">
        <f t="shared" ref="A21:A23" si="9">A20+1</f>
        <v>14</v>
      </c>
      <c r="B21" s="5">
        <f t="shared" ref="B21:B23" si="10">IF(F20&lt;0, B20, D20)</f>
        <v>1.32470703125</v>
      </c>
      <c r="C21" s="4">
        <f t="shared" ref="C21:C23" si="11">IF(F20&lt;0, D20, C20)</f>
        <v>1.3248291015625</v>
      </c>
      <c r="D21" s="4">
        <f t="shared" ref="D21:D23" si="12">(B21+C21)/2</f>
        <v>1.32476806640625</v>
      </c>
      <c r="E21" s="4">
        <f t="shared" si="5"/>
        <v>2.1370716262936185E-4</v>
      </c>
      <c r="F21" s="4">
        <f t="shared" si="6"/>
        <v>-2.1370716262936185E-4</v>
      </c>
      <c r="G21" s="4">
        <f t="shared" ref="G21:G23" si="13">C21-B21</f>
        <v>1.220703125E-4</v>
      </c>
      <c r="H21" s="4">
        <f t="shared" ref="H21:H23" si="14">ABS(E21)</f>
        <v>2.1370716262936185E-4</v>
      </c>
    </row>
    <row r="22" spans="1:8" x14ac:dyDescent="0.3">
      <c r="A22" s="4">
        <f t="shared" si="9"/>
        <v>15</v>
      </c>
      <c r="B22" s="4">
        <f t="shared" si="10"/>
        <v>1.32470703125</v>
      </c>
      <c r="C22" s="4">
        <f t="shared" si="11"/>
        <v>1.32476806640625</v>
      </c>
      <c r="D22" s="4">
        <f t="shared" si="12"/>
        <v>1.324737548828125</v>
      </c>
      <c r="E22" s="4">
        <f t="shared" si="5"/>
        <v>8.3552438383094341E-5</v>
      </c>
      <c r="F22" s="4">
        <f t="shared" si="6"/>
        <v>-8.3552438383094341E-5</v>
      </c>
      <c r="G22" s="4">
        <f t="shared" si="13"/>
        <v>6.103515625E-5</v>
      </c>
      <c r="H22" s="4">
        <f t="shared" si="14"/>
        <v>8.3552438383094341E-5</v>
      </c>
    </row>
    <row r="23" spans="1:8" x14ac:dyDescent="0.3">
      <c r="A23" s="4">
        <f t="shared" si="9"/>
        <v>16</v>
      </c>
      <c r="B23" s="4">
        <f t="shared" si="10"/>
        <v>1.32470703125</v>
      </c>
      <c r="C23" s="4">
        <f t="shared" si="11"/>
        <v>1.324737548828125</v>
      </c>
      <c r="D23" s="4">
        <f t="shared" si="12"/>
        <v>1.3247222900390625</v>
      </c>
      <c r="E23" s="4">
        <f t="shared" si="5"/>
        <v>1.8477852226084224E-5</v>
      </c>
      <c r="F23" s="4">
        <f t="shared" si="6"/>
        <v>-1.8477852226084224E-5</v>
      </c>
      <c r="G23" s="4">
        <f t="shared" si="13"/>
        <v>3.0517578125E-5</v>
      </c>
      <c r="H23" s="4">
        <f t="shared" si="14"/>
        <v>1.8477852226084224E-5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9843-32BA-4FCB-A4CB-F0BBB6F6F361}">
  <dimension ref="A1:E28"/>
  <sheetViews>
    <sheetView topLeftCell="A11" workbookViewId="0">
      <selection activeCell="D23" sqref="D23"/>
    </sheetView>
  </sheetViews>
  <sheetFormatPr defaultRowHeight="14.4" x14ac:dyDescent="0.3"/>
  <cols>
    <col min="1" max="1" width="10.6640625" customWidth="1"/>
    <col min="2" max="2" width="15.44140625" customWidth="1"/>
    <col min="3" max="3" width="14.88671875" customWidth="1"/>
    <col min="4" max="4" width="12.6640625" customWidth="1"/>
    <col min="5" max="5" width="9.5546875" customWidth="1"/>
  </cols>
  <sheetData>
    <row r="1" spans="1:5" x14ac:dyDescent="0.3">
      <c r="A1" s="7" t="s">
        <v>14</v>
      </c>
      <c r="B1" s="7" t="s">
        <v>17</v>
      </c>
      <c r="C1" s="6"/>
      <c r="D1" s="6"/>
      <c r="E1" s="6"/>
    </row>
    <row r="2" spans="1:5" x14ac:dyDescent="0.3">
      <c r="A2" s="7" t="s">
        <v>15</v>
      </c>
      <c r="B2" s="7">
        <v>1.5</v>
      </c>
      <c r="C2" s="6"/>
      <c r="D2" s="6"/>
      <c r="E2" s="6"/>
    </row>
    <row r="3" spans="1:5" x14ac:dyDescent="0.3">
      <c r="A3" s="7" t="s">
        <v>3</v>
      </c>
      <c r="B3" s="7">
        <v>1E-4</v>
      </c>
      <c r="C3" s="6"/>
      <c r="D3" s="6"/>
      <c r="E3" s="6"/>
    </row>
    <row r="4" spans="1:5" x14ac:dyDescent="0.3">
      <c r="A4" s="7" t="s">
        <v>16</v>
      </c>
      <c r="B4" s="7">
        <f>1/(3*((B2+1)^(2/3)))</f>
        <v>0.18096117443966045</v>
      </c>
      <c r="C4" s="6"/>
      <c r="D4" s="6"/>
      <c r="E4" s="6"/>
    </row>
    <row r="5" spans="1:5" x14ac:dyDescent="0.3">
      <c r="A5" s="6"/>
      <c r="B5" s="6"/>
      <c r="C5" s="6"/>
      <c r="D5" s="6"/>
      <c r="E5" s="6"/>
    </row>
    <row r="6" spans="1:5" x14ac:dyDescent="0.3">
      <c r="A6" s="6"/>
      <c r="B6" s="6"/>
      <c r="C6" s="6"/>
      <c r="D6" s="6"/>
      <c r="E6" s="6"/>
    </row>
    <row r="7" spans="1:5" x14ac:dyDescent="0.3">
      <c r="A7" s="8" t="s">
        <v>18</v>
      </c>
      <c r="B7" s="8" t="s">
        <v>19</v>
      </c>
      <c r="C7" s="8" t="s">
        <v>20</v>
      </c>
      <c r="D7" s="8" t="s">
        <v>21</v>
      </c>
      <c r="E7" s="8" t="s">
        <v>22</v>
      </c>
    </row>
    <row r="8" spans="1:5" x14ac:dyDescent="0.3">
      <c r="A8" s="8">
        <v>0</v>
      </c>
      <c r="B8" s="8">
        <f>$B$2</f>
        <v>1.5</v>
      </c>
      <c r="C8" s="8">
        <f>(B8+1)^(1/3)</f>
        <v>1.3572088082974534</v>
      </c>
      <c r="D8" s="8">
        <f>ABS(C8-B8)</f>
        <v>0.14279119170254662</v>
      </c>
      <c r="E8" s="8">
        <f>C8^3-C8-1</f>
        <v>0.14279119170254706</v>
      </c>
    </row>
    <row r="9" spans="1:5" x14ac:dyDescent="0.3">
      <c r="A9" s="8">
        <f>A8+1</f>
        <v>1</v>
      </c>
      <c r="B9" s="8">
        <f>C8</f>
        <v>1.3572088082974534</v>
      </c>
      <c r="C9" s="8">
        <f>(B9+1)^(1/3)</f>
        <v>1.3308609588014277</v>
      </c>
      <c r="D9" s="8">
        <f>ABS(C9-B9)</f>
        <v>2.6347849496025644E-2</v>
      </c>
      <c r="E9" s="8">
        <f>C9^3-C9-1</f>
        <v>2.63478494960252E-2</v>
      </c>
    </row>
    <row r="10" spans="1:5" x14ac:dyDescent="0.3">
      <c r="A10" s="8">
        <f t="shared" ref="A10:A28" si="0">A9+1</f>
        <v>2</v>
      </c>
      <c r="B10" s="8">
        <f t="shared" ref="B10:B28" si="1">C9</f>
        <v>1.3308609588014277</v>
      </c>
      <c r="C10" s="8">
        <f t="shared" ref="C10:C28" si="2">(B10+1)^(1/3)</f>
        <v>1.3258837742323479</v>
      </c>
      <c r="D10" s="8">
        <f t="shared" ref="D10:D28" si="3">ABS(C10-B10)</f>
        <v>4.9771845690798067E-3</v>
      </c>
      <c r="E10" s="8">
        <f t="shared" ref="E10:E28" si="4">C10^3-C10-1</f>
        <v>4.9771845690804728E-3</v>
      </c>
    </row>
    <row r="11" spans="1:5" x14ac:dyDescent="0.3">
      <c r="A11" s="8">
        <f t="shared" si="0"/>
        <v>3</v>
      </c>
      <c r="B11" s="8">
        <f t="shared" si="1"/>
        <v>1.3258837742323479</v>
      </c>
      <c r="C11" s="8">
        <f t="shared" si="2"/>
        <v>1.3249393634018849</v>
      </c>
      <c r="D11" s="8">
        <f t="shared" si="3"/>
        <v>9.4441083046303831E-4</v>
      </c>
      <c r="E11" s="8">
        <f t="shared" si="4"/>
        <v>9.4441083046281626E-4</v>
      </c>
    </row>
    <row r="12" spans="1:5" x14ac:dyDescent="0.3">
      <c r="A12" s="8">
        <f t="shared" si="0"/>
        <v>4</v>
      </c>
      <c r="B12" s="8">
        <f t="shared" si="1"/>
        <v>1.3249393634018849</v>
      </c>
      <c r="C12" s="8">
        <f t="shared" si="2"/>
        <v>1.3247600112927027</v>
      </c>
      <c r="D12" s="8">
        <f t="shared" si="3"/>
        <v>1.793521091821848E-4</v>
      </c>
      <c r="E12" s="8">
        <f t="shared" si="4"/>
        <v>1.7935210918285094E-4</v>
      </c>
    </row>
    <row r="13" spans="1:5" x14ac:dyDescent="0.3">
      <c r="A13" s="8">
        <f t="shared" si="0"/>
        <v>5</v>
      </c>
      <c r="B13" s="8">
        <f t="shared" si="1"/>
        <v>1.3247600112927027</v>
      </c>
      <c r="C13" s="8">
        <f t="shared" si="2"/>
        <v>1.3247259452268871</v>
      </c>
      <c r="D13" s="8">
        <f t="shared" si="3"/>
        <v>3.4066065815574476E-5</v>
      </c>
      <c r="E13" s="8">
        <f t="shared" si="4"/>
        <v>3.4066065815130386E-5</v>
      </c>
    </row>
    <row r="14" spans="1:5" x14ac:dyDescent="0.3">
      <c r="A14" s="9">
        <f t="shared" si="0"/>
        <v>6</v>
      </c>
      <c r="B14" s="9">
        <f t="shared" si="1"/>
        <v>1.3247259452268871</v>
      </c>
      <c r="C14" s="9">
        <f t="shared" si="2"/>
        <v>1.324719474534364</v>
      </c>
      <c r="D14" s="9">
        <f t="shared" si="3"/>
        <v>6.4706925231305945E-6</v>
      </c>
      <c r="E14" s="9">
        <f t="shared" si="4"/>
        <v>6.4706925229085499E-6</v>
      </c>
    </row>
    <row r="15" spans="1:5" x14ac:dyDescent="0.3">
      <c r="A15" s="8">
        <f t="shared" si="0"/>
        <v>7</v>
      </c>
      <c r="B15" s="8">
        <f t="shared" si="1"/>
        <v>1.324719474534364</v>
      </c>
      <c r="C15" s="8">
        <f t="shared" si="2"/>
        <v>1.3247182454489357</v>
      </c>
      <c r="D15" s="8">
        <f t="shared" si="3"/>
        <v>1.2290854283225627E-6</v>
      </c>
      <c r="E15" s="8">
        <f t="shared" si="4"/>
        <v>1.2290854276564289E-6</v>
      </c>
    </row>
    <row r="16" spans="1:5" x14ac:dyDescent="0.3">
      <c r="A16" s="8">
        <f t="shared" si="0"/>
        <v>8</v>
      </c>
      <c r="B16" s="8">
        <f t="shared" si="1"/>
        <v>1.3247182454489357</v>
      </c>
      <c r="C16" s="8">
        <f t="shared" si="2"/>
        <v>1.3247180119881969</v>
      </c>
      <c r="D16" s="8">
        <f t="shared" si="3"/>
        <v>2.3346073874108697E-7</v>
      </c>
      <c r="E16" s="8">
        <f t="shared" si="4"/>
        <v>2.3346073918517618E-7</v>
      </c>
    </row>
    <row r="17" spans="1:5" x14ac:dyDescent="0.3">
      <c r="A17" s="8">
        <f t="shared" si="0"/>
        <v>9</v>
      </c>
      <c r="B17" s="8">
        <f t="shared" si="1"/>
        <v>1.3247180119881969</v>
      </c>
      <c r="C17" s="8">
        <f t="shared" si="2"/>
        <v>1.3247179676430871</v>
      </c>
      <c r="D17" s="8">
        <f t="shared" si="3"/>
        <v>4.4345109806442906E-8</v>
      </c>
      <c r="E17" s="8">
        <f t="shared" si="4"/>
        <v>4.4345108918264486E-8</v>
      </c>
    </row>
    <row r="18" spans="1:5" x14ac:dyDescent="0.3">
      <c r="A18" s="8">
        <f t="shared" si="0"/>
        <v>10</v>
      </c>
      <c r="B18" s="8">
        <f t="shared" si="1"/>
        <v>1.3247179676430871</v>
      </c>
      <c r="C18" s="8">
        <f t="shared" si="2"/>
        <v>1.3247179592198772</v>
      </c>
      <c r="D18" s="8">
        <f t="shared" si="3"/>
        <v>8.4232099073489053E-9</v>
      </c>
      <c r="E18" s="8">
        <f t="shared" si="4"/>
        <v>8.4232099073489053E-9</v>
      </c>
    </row>
    <row r="19" spans="1:5" x14ac:dyDescent="0.3">
      <c r="A19" s="8">
        <f t="shared" si="0"/>
        <v>11</v>
      </c>
      <c r="B19" s="8">
        <f t="shared" si="1"/>
        <v>1.3247179592198772</v>
      </c>
      <c r="C19" s="8">
        <f t="shared" si="2"/>
        <v>1.324717957619916</v>
      </c>
      <c r="D19" s="8">
        <f t="shared" si="3"/>
        <v>1.5999612745787317E-9</v>
      </c>
      <c r="E19" s="8">
        <f t="shared" si="4"/>
        <v>1.5999619407125465E-9</v>
      </c>
    </row>
    <row r="20" spans="1:5" x14ac:dyDescent="0.3">
      <c r="A20" s="8">
        <f t="shared" si="0"/>
        <v>12</v>
      </c>
      <c r="B20" s="8">
        <f t="shared" si="1"/>
        <v>1.324717957619916</v>
      </c>
      <c r="C20" s="8">
        <f t="shared" si="2"/>
        <v>1.3247179573160084</v>
      </c>
      <c r="D20" s="8">
        <f t="shared" si="3"/>
        <v>3.03907565779582E-10</v>
      </c>
      <c r="E20" s="8">
        <f t="shared" si="4"/>
        <v>3.0390800986879185E-10</v>
      </c>
    </row>
    <row r="21" spans="1:5" x14ac:dyDescent="0.3">
      <c r="A21" s="8">
        <f t="shared" si="0"/>
        <v>13</v>
      </c>
      <c r="B21" s="8">
        <f t="shared" si="1"/>
        <v>1.3247179573160084</v>
      </c>
      <c r="C21" s="8">
        <f t="shared" si="2"/>
        <v>1.3247179572582821</v>
      </c>
      <c r="D21" s="8">
        <f t="shared" si="3"/>
        <v>5.7726268209989939E-11</v>
      </c>
      <c r="E21" s="8">
        <f t="shared" si="4"/>
        <v>5.7726712299199789E-11</v>
      </c>
    </row>
    <row r="22" spans="1:5" x14ac:dyDescent="0.3">
      <c r="A22" s="8">
        <f t="shared" si="0"/>
        <v>14</v>
      </c>
      <c r="B22" s="8">
        <f t="shared" si="1"/>
        <v>1.3247179572582821</v>
      </c>
      <c r="C22" s="8">
        <f t="shared" si="2"/>
        <v>1.3247179572473171</v>
      </c>
      <c r="D22" s="8">
        <f t="shared" si="3"/>
        <v>1.0965006680407896E-11</v>
      </c>
      <c r="E22" s="8">
        <f t="shared" si="4"/>
        <v>1.0964562591198046E-11</v>
      </c>
    </row>
    <row r="23" spans="1:5" x14ac:dyDescent="0.3">
      <c r="A23" s="8">
        <f t="shared" si="0"/>
        <v>15</v>
      </c>
      <c r="B23" s="8">
        <f t="shared" si="1"/>
        <v>1.3247179572473171</v>
      </c>
      <c r="C23" s="8">
        <f t="shared" si="2"/>
        <v>1.3247179572452343</v>
      </c>
      <c r="D23" s="8">
        <f t="shared" si="3"/>
        <v>2.0827783941967937E-12</v>
      </c>
      <c r="E23" s="8">
        <f t="shared" si="4"/>
        <v>2.0827783941967937E-12</v>
      </c>
    </row>
    <row r="24" spans="1:5" x14ac:dyDescent="0.3">
      <c r="A24" s="8">
        <f t="shared" si="0"/>
        <v>16</v>
      </c>
      <c r="B24" s="8">
        <f t="shared" si="1"/>
        <v>1.3247179572452343</v>
      </c>
      <c r="C24" s="8">
        <f t="shared" si="2"/>
        <v>1.3247179572448387</v>
      </c>
      <c r="D24" s="8">
        <f t="shared" si="3"/>
        <v>3.9568348597640579E-13</v>
      </c>
      <c r="E24" s="8">
        <f t="shared" si="4"/>
        <v>3.9479530755670567E-13</v>
      </c>
    </row>
    <row r="25" spans="1:5" x14ac:dyDescent="0.3">
      <c r="A25" s="8">
        <f t="shared" si="0"/>
        <v>17</v>
      </c>
      <c r="B25" s="8">
        <f t="shared" si="1"/>
        <v>1.3247179572448387</v>
      </c>
      <c r="C25" s="8">
        <f t="shared" si="2"/>
        <v>1.3247179572447636</v>
      </c>
      <c r="D25" s="8">
        <f t="shared" si="3"/>
        <v>7.5051076464660582E-14</v>
      </c>
      <c r="E25" s="8">
        <f t="shared" si="4"/>
        <v>7.5051076464660582E-14</v>
      </c>
    </row>
    <row r="26" spans="1:5" x14ac:dyDescent="0.3">
      <c r="A26" s="8">
        <f t="shared" si="0"/>
        <v>18</v>
      </c>
      <c r="B26" s="8">
        <f t="shared" si="1"/>
        <v>1.3247179572447636</v>
      </c>
      <c r="C26" s="8">
        <f t="shared" si="2"/>
        <v>1.3247179572447494</v>
      </c>
      <c r="D26" s="8">
        <f t="shared" si="3"/>
        <v>1.4210854715202004E-14</v>
      </c>
      <c r="E26" s="8">
        <f t="shared" si="4"/>
        <v>1.4210854715202004E-14</v>
      </c>
    </row>
    <row r="27" spans="1:5" x14ac:dyDescent="0.3">
      <c r="A27" s="8">
        <f t="shared" si="0"/>
        <v>19</v>
      </c>
      <c r="B27" s="8">
        <f t="shared" si="1"/>
        <v>1.3247179572447494</v>
      </c>
      <c r="C27" s="8">
        <f t="shared" si="2"/>
        <v>1.3247179572447465</v>
      </c>
      <c r="D27" s="8">
        <f t="shared" si="3"/>
        <v>2.886579864025407E-15</v>
      </c>
      <c r="E27" s="8">
        <f t="shared" si="4"/>
        <v>1.9984014443252818E-15</v>
      </c>
    </row>
    <row r="28" spans="1:5" x14ac:dyDescent="0.3">
      <c r="A28" s="8">
        <f t="shared" si="0"/>
        <v>20</v>
      </c>
      <c r="B28" s="8">
        <f t="shared" si="1"/>
        <v>1.3247179572447465</v>
      </c>
      <c r="C28" s="8">
        <f t="shared" si="2"/>
        <v>1.3247179572447461</v>
      </c>
      <c r="D28" s="8">
        <f t="shared" si="3"/>
        <v>4.4408920985006262E-16</v>
      </c>
      <c r="E28" s="8">
        <f t="shared" si="4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879A-D788-4B8A-942E-1DDCEA77051E}">
  <dimension ref="A1:F13"/>
  <sheetViews>
    <sheetView tabSelected="1" workbookViewId="0">
      <selection activeCell="A6" sqref="A6:C6"/>
    </sheetView>
  </sheetViews>
  <sheetFormatPr defaultRowHeight="14.4" x14ac:dyDescent="0.3"/>
  <cols>
    <col min="1" max="1" width="11.33203125" customWidth="1"/>
    <col min="2" max="2" width="10.77734375" customWidth="1"/>
    <col min="3" max="3" width="12" bestFit="1" customWidth="1"/>
    <col min="4" max="5" width="9" bestFit="1" customWidth="1"/>
    <col min="6" max="6" width="12.6640625" customWidth="1"/>
  </cols>
  <sheetData>
    <row r="1" spans="1:6" x14ac:dyDescent="0.3">
      <c r="A1" s="12" t="s">
        <v>0</v>
      </c>
      <c r="B1" s="12" t="s">
        <v>23</v>
      </c>
      <c r="C1" s="6"/>
      <c r="D1" s="6"/>
      <c r="E1" s="6"/>
      <c r="F1" s="6"/>
    </row>
    <row r="2" spans="1:6" x14ac:dyDescent="0.3">
      <c r="A2" s="12" t="s">
        <v>15</v>
      </c>
      <c r="B2" s="12">
        <v>2</v>
      </c>
      <c r="C2" s="6"/>
      <c r="D2" s="6"/>
      <c r="E2" s="6"/>
      <c r="F2" s="6"/>
    </row>
    <row r="3" spans="1:6" x14ac:dyDescent="0.3">
      <c r="A3" s="12" t="s">
        <v>3</v>
      </c>
      <c r="B3" s="12">
        <v>1E-4</v>
      </c>
      <c r="C3" s="6"/>
      <c r="D3" s="6"/>
      <c r="E3" s="6"/>
      <c r="F3" s="6"/>
    </row>
    <row r="4" spans="1:6" x14ac:dyDescent="0.3">
      <c r="A4" s="6"/>
      <c r="B4" s="6"/>
      <c r="C4" s="6"/>
      <c r="D4" s="6"/>
      <c r="E4" s="6"/>
      <c r="F4" s="6"/>
    </row>
    <row r="5" spans="1:6" x14ac:dyDescent="0.3">
      <c r="A5" s="6"/>
      <c r="B5" s="6"/>
      <c r="C5" s="6"/>
      <c r="D5" s="6"/>
      <c r="E5" s="6"/>
      <c r="F5" s="6"/>
    </row>
    <row r="6" spans="1:6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0" t="s">
        <v>28</v>
      </c>
      <c r="F6" s="10" t="s">
        <v>29</v>
      </c>
    </row>
    <row r="7" spans="1:6" x14ac:dyDescent="0.3">
      <c r="A7" s="10">
        <v>0</v>
      </c>
      <c r="B7" s="10">
        <f>B2</f>
        <v>2</v>
      </c>
      <c r="C7" s="10">
        <f>B7^3-B7-1</f>
        <v>5</v>
      </c>
      <c r="D7" s="10">
        <f>3*B7^2-1</f>
        <v>11</v>
      </c>
      <c r="E7" s="10">
        <f>B7-C7/D7</f>
        <v>1.5454545454545454</v>
      </c>
      <c r="F7" s="10">
        <f>ABS(E7-B7)</f>
        <v>0.45454545454545459</v>
      </c>
    </row>
    <row r="8" spans="1:6" x14ac:dyDescent="0.3">
      <c r="A8" s="10">
        <f>A7+1</f>
        <v>1</v>
      </c>
      <c r="B8" s="10">
        <f>E7</f>
        <v>1.5454545454545454</v>
      </c>
      <c r="C8" s="10">
        <f>B8^3-B8-1</f>
        <v>1.1457550713749058</v>
      </c>
      <c r="D8" s="10">
        <f>3*B8^2-1</f>
        <v>6.1652892561983466</v>
      </c>
      <c r="E8" s="10">
        <f>B8-C8/D8</f>
        <v>1.359614915915184</v>
      </c>
      <c r="F8" s="10">
        <f>ABS(E8-B8)</f>
        <v>0.1858396295393614</v>
      </c>
    </row>
    <row r="9" spans="1:6" x14ac:dyDescent="0.3">
      <c r="A9" s="10">
        <f t="shared" ref="A9:A13" si="0">A8+1</f>
        <v>2</v>
      </c>
      <c r="B9" s="10">
        <f t="shared" ref="B9:B13" si="1">E8</f>
        <v>1.359614915915184</v>
      </c>
      <c r="C9" s="10">
        <f t="shared" ref="C9:C13" si="2">B9^3-B9-1</f>
        <v>0.15370493448007472</v>
      </c>
      <c r="D9" s="10">
        <f t="shared" ref="D9:D13" si="3">3*B9^2-1</f>
        <v>4.5456581587371589</v>
      </c>
      <c r="E9" s="10">
        <f t="shared" ref="E9:E13" si="4">B9-C9/D9</f>
        <v>1.325801345005845</v>
      </c>
      <c r="F9" s="10">
        <f t="shared" ref="F9:F13" si="5">ABS(E9-B9)</f>
        <v>3.3813570909339008E-2</v>
      </c>
    </row>
    <row r="10" spans="1:6" x14ac:dyDescent="0.3">
      <c r="A10" s="10">
        <f t="shared" si="0"/>
        <v>3</v>
      </c>
      <c r="B10" s="10">
        <f t="shared" si="1"/>
        <v>1.325801345005845</v>
      </c>
      <c r="C10" s="10">
        <f t="shared" si="2"/>
        <v>4.6249170478298574E-3</v>
      </c>
      <c r="D10" s="10">
        <f t="shared" si="3"/>
        <v>4.2732476192579227</v>
      </c>
      <c r="E10" s="10">
        <f t="shared" si="4"/>
        <v>1.3247190494171253</v>
      </c>
      <c r="F10" s="10">
        <f t="shared" si="5"/>
        <v>1.0822955887197505E-3</v>
      </c>
    </row>
    <row r="11" spans="1:6" x14ac:dyDescent="0.3">
      <c r="A11" s="11">
        <f t="shared" si="0"/>
        <v>4</v>
      </c>
      <c r="B11" s="11">
        <f t="shared" si="1"/>
        <v>1.3247190494171253</v>
      </c>
      <c r="C11" s="11">
        <f t="shared" si="2"/>
        <v>4.6577191092911363E-6</v>
      </c>
      <c r="D11" s="11">
        <f t="shared" si="3"/>
        <v>4.2646416796658357</v>
      </c>
      <c r="E11" s="11">
        <f t="shared" si="4"/>
        <v>1.3247179572458576</v>
      </c>
      <c r="F11" s="11">
        <f t="shared" si="5"/>
        <v>1.0921712676470463E-6</v>
      </c>
    </row>
    <row r="12" spans="1:6" x14ac:dyDescent="0.3">
      <c r="A12" s="10">
        <f t="shared" si="0"/>
        <v>5</v>
      </c>
      <c r="B12" s="10">
        <f t="shared" si="1"/>
        <v>1.3247179572458576</v>
      </c>
      <c r="C12" s="10">
        <f t="shared" si="2"/>
        <v>4.7404302705444934E-12</v>
      </c>
      <c r="D12" s="10">
        <f t="shared" si="3"/>
        <v>4.2646329987489136</v>
      </c>
      <c r="E12" s="10">
        <f t="shared" si="4"/>
        <v>1.3247179572447461</v>
      </c>
      <c r="F12" s="10">
        <f t="shared" si="5"/>
        <v>1.1115552922547067E-12</v>
      </c>
    </row>
    <row r="13" spans="1:6" x14ac:dyDescent="0.3">
      <c r="A13" s="10">
        <f t="shared" si="0"/>
        <v>6</v>
      </c>
      <c r="B13" s="10">
        <f t="shared" si="1"/>
        <v>1.3247179572447461</v>
      </c>
      <c r="C13" s="10">
        <f t="shared" si="2"/>
        <v>0</v>
      </c>
      <c r="D13" s="10">
        <f t="shared" si="3"/>
        <v>4.2646329987400788</v>
      </c>
      <c r="E13" s="10">
        <f t="shared" si="4"/>
        <v>1.3247179572447461</v>
      </c>
      <c r="F13" s="10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A52D-DB33-4A34-BAAF-DA90C3B75CD5}">
  <dimension ref="A1:G17"/>
  <sheetViews>
    <sheetView topLeftCell="A5" workbookViewId="0">
      <selection activeCell="D3" sqref="D3"/>
    </sheetView>
  </sheetViews>
  <sheetFormatPr defaultRowHeight="14.4" x14ac:dyDescent="0.3"/>
  <cols>
    <col min="1" max="1" width="10.33203125" customWidth="1"/>
    <col min="2" max="2" width="9" bestFit="1" customWidth="1"/>
    <col min="3" max="3" width="12" bestFit="1" customWidth="1"/>
    <col min="4" max="4" width="11.6640625" customWidth="1"/>
    <col min="5" max="5" width="14.21875" customWidth="1"/>
    <col min="6" max="6" width="9" bestFit="1" customWidth="1"/>
    <col min="7" max="7" width="11.21875" customWidth="1"/>
  </cols>
  <sheetData>
    <row r="1" spans="1:7" x14ac:dyDescent="0.3">
      <c r="A1" s="15" t="s">
        <v>0</v>
      </c>
      <c r="B1" s="15"/>
    </row>
    <row r="2" spans="1:7" x14ac:dyDescent="0.3">
      <c r="A2" s="15" t="s">
        <v>15</v>
      </c>
      <c r="B2" s="15">
        <v>1</v>
      </c>
    </row>
    <row r="3" spans="1:7" x14ac:dyDescent="0.3">
      <c r="A3" s="15" t="s">
        <v>30</v>
      </c>
      <c r="B3" s="15">
        <v>2</v>
      </c>
    </row>
    <row r="4" spans="1:7" x14ac:dyDescent="0.3">
      <c r="A4" s="15" t="s">
        <v>3</v>
      </c>
      <c r="B4" s="15">
        <v>1E-4</v>
      </c>
    </row>
    <row r="6" spans="1:7" x14ac:dyDescent="0.3">
      <c r="A6" s="13" t="s">
        <v>24</v>
      </c>
      <c r="B6" s="13" t="s">
        <v>25</v>
      </c>
      <c r="C6" s="13" t="s">
        <v>26</v>
      </c>
      <c r="D6" s="13" t="s">
        <v>31</v>
      </c>
      <c r="E6" s="13" t="s">
        <v>32</v>
      </c>
      <c r="F6" s="13" t="s">
        <v>28</v>
      </c>
      <c r="G6" s="13" t="s">
        <v>29</v>
      </c>
    </row>
    <row r="7" spans="1:7" x14ac:dyDescent="0.3">
      <c r="A7" s="13">
        <v>0</v>
      </c>
      <c r="B7" s="13">
        <f>B2</f>
        <v>1</v>
      </c>
      <c r="C7" s="13">
        <f>B7^3-B7-1</f>
        <v>-1</v>
      </c>
      <c r="D7" s="13"/>
      <c r="E7" s="13"/>
      <c r="F7" s="13"/>
      <c r="G7" s="13"/>
    </row>
    <row r="8" spans="1:7" x14ac:dyDescent="0.3">
      <c r="A8" s="13">
        <v>1</v>
      </c>
      <c r="B8" s="13">
        <f>B3</f>
        <v>2</v>
      </c>
      <c r="C8" s="13">
        <f>B8^3-B8-1</f>
        <v>5</v>
      </c>
      <c r="D8" s="13">
        <f>B8-B7</f>
        <v>1</v>
      </c>
      <c r="E8" s="13">
        <f>C8-C7</f>
        <v>6</v>
      </c>
      <c r="F8" s="13">
        <f>B8-C8*D8/E8</f>
        <v>1.1666666666666665</v>
      </c>
      <c r="G8" s="13">
        <f>ABS(F8-B8)</f>
        <v>0.83333333333333348</v>
      </c>
    </row>
    <row r="9" spans="1:7" x14ac:dyDescent="0.3">
      <c r="A9" s="13">
        <f>A8+1</f>
        <v>2</v>
      </c>
      <c r="B9" s="13">
        <f>F8</f>
        <v>1.1666666666666665</v>
      </c>
      <c r="C9" s="13">
        <f>B9^3-B9-1</f>
        <v>-0.57870370370370416</v>
      </c>
      <c r="D9" s="13">
        <f>B9-B8</f>
        <v>-0.83333333333333348</v>
      </c>
      <c r="E9" s="13">
        <f>C9-C8</f>
        <v>-5.5787037037037042</v>
      </c>
      <c r="F9" s="13">
        <f>B9-C9*D9/E9</f>
        <v>1.2531120331950207</v>
      </c>
      <c r="G9" s="13">
        <f>ABS(F9-B9)</f>
        <v>8.6445366528354217E-2</v>
      </c>
    </row>
    <row r="10" spans="1:7" x14ac:dyDescent="0.3">
      <c r="A10" s="13">
        <f t="shared" ref="A10:A15" si="0">A9+1</f>
        <v>3</v>
      </c>
      <c r="B10" s="13">
        <f t="shared" ref="B10:B15" si="1">F9</f>
        <v>1.2531120331950207</v>
      </c>
      <c r="C10" s="13">
        <f t="shared" ref="C10:C17" si="2">B10^3-B10-1</f>
        <v>-0.28536302963931992</v>
      </c>
      <c r="D10" s="13">
        <f t="shared" ref="D10:D15" si="3">B10-B9</f>
        <v>8.6445366528354217E-2</v>
      </c>
      <c r="E10" s="13">
        <f t="shared" ref="E10:E15" si="4">C10-C9</f>
        <v>0.29334067406438424</v>
      </c>
      <c r="F10" s="13">
        <f t="shared" ref="F10:F15" si="5">B10-C10*D10/E10</f>
        <v>1.3372064458416566</v>
      </c>
      <c r="G10" s="13">
        <f t="shared" ref="G10:G15" si="6">ABS(F10-B10)</f>
        <v>8.4094412646635863E-2</v>
      </c>
    </row>
    <row r="11" spans="1:7" x14ac:dyDescent="0.3">
      <c r="A11" s="13">
        <f t="shared" si="0"/>
        <v>4</v>
      </c>
      <c r="B11" s="13">
        <f t="shared" si="1"/>
        <v>1.3372064458416566</v>
      </c>
      <c r="C11" s="13">
        <f t="shared" si="2"/>
        <v>5.3880586675675968E-2</v>
      </c>
      <c r="D11" s="13">
        <f t="shared" si="3"/>
        <v>8.4094412646635863E-2</v>
      </c>
      <c r="E11" s="13">
        <f t="shared" si="4"/>
        <v>0.33924361631499589</v>
      </c>
      <c r="F11" s="13">
        <f t="shared" si="5"/>
        <v>1.323850096387641</v>
      </c>
      <c r="G11" s="13">
        <f t="shared" si="6"/>
        <v>1.3356349454015648E-2</v>
      </c>
    </row>
    <row r="12" spans="1:7" x14ac:dyDescent="0.3">
      <c r="A12" s="13">
        <f t="shared" si="0"/>
        <v>5</v>
      </c>
      <c r="B12" s="13">
        <f t="shared" si="1"/>
        <v>1.323850096387641</v>
      </c>
      <c r="C12" s="13">
        <f t="shared" si="2"/>
        <v>-3.6981154401642957E-3</v>
      </c>
      <c r="D12" s="13">
        <f t="shared" si="3"/>
        <v>-1.3356349454015648E-2</v>
      </c>
      <c r="E12" s="13">
        <f t="shared" si="4"/>
        <v>-5.7578702115840263E-2</v>
      </c>
      <c r="F12" s="13">
        <f t="shared" si="5"/>
        <v>1.324707936532088</v>
      </c>
      <c r="G12" s="13">
        <f t="shared" si="6"/>
        <v>8.5784014444700851E-4</v>
      </c>
    </row>
    <row r="13" spans="1:7" x14ac:dyDescent="0.3">
      <c r="A13" s="13">
        <f t="shared" si="0"/>
        <v>6</v>
      </c>
      <c r="B13" s="13">
        <f t="shared" si="1"/>
        <v>1.324707936532088</v>
      </c>
      <c r="C13" s="13">
        <f t="shared" si="2"/>
        <v>-4.2734262810206758E-5</v>
      </c>
      <c r="D13" s="13">
        <f t="shared" si="3"/>
        <v>8.5784014444700851E-4</v>
      </c>
      <c r="E13" s="13">
        <f t="shared" si="4"/>
        <v>3.655381177354089E-3</v>
      </c>
      <c r="F13" s="13">
        <f t="shared" si="5"/>
        <v>1.3247179653538177</v>
      </c>
      <c r="G13" s="13">
        <f t="shared" si="6"/>
        <v>1.0028821729735071E-5</v>
      </c>
    </row>
    <row r="14" spans="1:7" x14ac:dyDescent="0.3">
      <c r="A14" s="14">
        <f t="shared" si="0"/>
        <v>7</v>
      </c>
      <c r="B14" s="14">
        <f t="shared" si="1"/>
        <v>1.3247179653538177</v>
      </c>
      <c r="C14" s="14">
        <f t="shared" si="2"/>
        <v>3.4582214647471687E-8</v>
      </c>
      <c r="D14" s="14">
        <f t="shared" si="3"/>
        <v>1.0028821729735071E-5</v>
      </c>
      <c r="E14" s="14">
        <f t="shared" si="4"/>
        <v>4.276884502485423E-5</v>
      </c>
      <c r="F14" s="14">
        <f t="shared" si="5"/>
        <v>1.3247179572446703</v>
      </c>
      <c r="G14" s="14">
        <f t="shared" si="6"/>
        <v>8.1091473536076819E-9</v>
      </c>
    </row>
    <row r="15" spans="1:7" x14ac:dyDescent="0.3">
      <c r="A15" s="13">
        <f t="shared" si="0"/>
        <v>8</v>
      </c>
      <c r="B15" s="13">
        <f t="shared" si="1"/>
        <v>1.3247179572446703</v>
      </c>
      <c r="C15" s="13">
        <f t="shared" si="2"/>
        <v>-3.2285285556099552E-13</v>
      </c>
      <c r="D15" s="13">
        <f t="shared" si="3"/>
        <v>-8.1091473536076819E-9</v>
      </c>
      <c r="E15" s="13">
        <f t="shared" si="4"/>
        <v>-3.4582537500327248E-8</v>
      </c>
      <c r="F15" s="13">
        <f t="shared" si="5"/>
        <v>1.3247179572447461</v>
      </c>
      <c r="G15" s="13">
        <f t="shared" si="6"/>
        <v>7.5717210279435676E-14</v>
      </c>
    </row>
    <row r="16" spans="1:7" x14ac:dyDescent="0.3">
      <c r="A16" s="13">
        <f t="shared" ref="A16:A17" si="7">A15+1</f>
        <v>9</v>
      </c>
      <c r="B16" s="13">
        <f t="shared" ref="B16:B17" si="8">F15</f>
        <v>1.3247179572447461</v>
      </c>
      <c r="C16" s="13">
        <f t="shared" si="2"/>
        <v>0</v>
      </c>
      <c r="D16" s="13">
        <f t="shared" ref="D16:D17" si="9">B16-B15</f>
        <v>7.5717210279435676E-14</v>
      </c>
      <c r="E16" s="13">
        <f t="shared" ref="E16:E17" si="10">C16-C15</f>
        <v>3.2285285556099552E-13</v>
      </c>
      <c r="F16" s="13">
        <f t="shared" ref="F16:F17" si="11">B16-C16*D16/E16</f>
        <v>1.3247179572447461</v>
      </c>
      <c r="G16" s="13">
        <f t="shared" ref="G16:G17" si="12">ABS(F16-B16)</f>
        <v>0</v>
      </c>
    </row>
    <row r="17" spans="1:7" x14ac:dyDescent="0.3">
      <c r="A17" s="13">
        <f t="shared" si="7"/>
        <v>10</v>
      </c>
      <c r="B17" s="13">
        <f t="shared" si="8"/>
        <v>1.3247179572447461</v>
      </c>
      <c r="C17" s="13">
        <f t="shared" si="2"/>
        <v>0</v>
      </c>
      <c r="D17" s="13">
        <f t="shared" si="9"/>
        <v>0</v>
      </c>
      <c r="E17" s="13">
        <f t="shared" si="10"/>
        <v>0</v>
      </c>
      <c r="F17" s="13" t="e">
        <f t="shared" si="11"/>
        <v>#DIV/0!</v>
      </c>
      <c r="G17" s="13" t="e">
        <f t="shared" si="12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бисекция</vt:lpstr>
      <vt:lpstr>простая итерация</vt:lpstr>
      <vt:lpstr>ньютон</vt:lpstr>
      <vt:lpstr>секущие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Куриленко</dc:creator>
  <cp:lastModifiedBy>Юлия Куриленко</cp:lastModifiedBy>
  <dcterms:created xsi:type="dcterms:W3CDTF">2015-06-05T18:19:34Z</dcterms:created>
  <dcterms:modified xsi:type="dcterms:W3CDTF">2026-09-19T15:51:28Z</dcterms:modified>
</cp:coreProperties>
</file>